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ckh\Downloads\"/>
    </mc:Choice>
  </mc:AlternateContent>
  <xr:revisionPtr revIDLastSave="0" documentId="13_ncr:1_{F9CAD21C-1E1E-4F21-BD1D-98396E720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B BOM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13" i="1"/>
  <c r="H8" i="1" l="1"/>
  <c r="I8" i="1" s="1"/>
  <c r="H12" i="1"/>
  <c r="I12" i="1" s="1"/>
  <c r="G17" i="1"/>
  <c r="H17" i="1" s="1"/>
  <c r="G19" i="1"/>
  <c r="H19" i="1" s="1"/>
  <c r="G18" i="1"/>
  <c r="H18" i="1" s="1"/>
  <c r="H14" i="1"/>
  <c r="I14" i="1" s="1"/>
  <c r="H10" i="1"/>
  <c r="I10" i="1" s="1"/>
  <c r="H11" i="1"/>
  <c r="I11" i="1" s="1"/>
  <c r="H9" i="1"/>
  <c r="I9" i="1" s="1"/>
  <c r="H7" i="1"/>
  <c r="I7" i="1" s="1"/>
  <c r="H6" i="1"/>
  <c r="H5" i="1"/>
  <c r="H15" i="1"/>
  <c r="H16" i="1"/>
  <c r="H3" i="1"/>
  <c r="H20" i="1" l="1"/>
  <c r="I20" i="1"/>
</calcChain>
</file>

<file path=xl/sharedStrings.xml><?xml version="1.0" encoding="utf-8"?>
<sst xmlns="http://schemas.openxmlformats.org/spreadsheetml/2006/main" count="75" uniqueCount="52">
  <si>
    <t>Item #</t>
  </si>
  <si>
    <t>Qty</t>
  </si>
  <si>
    <t>Manufacturer</t>
  </si>
  <si>
    <t>Description / Value</t>
  </si>
  <si>
    <t>PROJECT 4 BOM (Bill of Materials)</t>
  </si>
  <si>
    <t>Raspberry Pi</t>
  </si>
  <si>
    <t>RASPBERRY PI 4 MODEL B</t>
  </si>
  <si>
    <t>Unit Cost</t>
  </si>
  <si>
    <t>Total Cost</t>
  </si>
  <si>
    <t>Procurement Details</t>
  </si>
  <si>
    <t>Loan from school</t>
  </si>
  <si>
    <t>TOWER PRO</t>
  </si>
  <si>
    <t>Total:</t>
  </si>
  <si>
    <t>MICRO SERVO MOTOR MG90S</t>
  </si>
  <si>
    <t>eSun</t>
  </si>
  <si>
    <t>PLA-BASIC (WHITE)</t>
  </si>
  <si>
    <t>ALUMINIUM PROFILE</t>
  </si>
  <si>
    <t>L CORNER BRACKET 2020</t>
  </si>
  <si>
    <t>M5 DROP-IN FASTENER</t>
  </si>
  <si>
    <t>Item Category</t>
  </si>
  <si>
    <t>Electronics</t>
  </si>
  <si>
    <t>Mechanical</t>
  </si>
  <si>
    <t>Specification</t>
  </si>
  <si>
    <t>8GB RAM version</t>
  </si>
  <si>
    <t>360°, 2.5kg·cm torque</t>
  </si>
  <si>
    <t>1kg, 1.75mm</t>
  </si>
  <si>
    <t>CHARACTER I2C LCD</t>
  </si>
  <si>
    <t>16mmx2mm</t>
  </si>
  <si>
    <t>M5X8mm</t>
  </si>
  <si>
    <t>20mmx20mm</t>
  </si>
  <si>
    <t>Actual Cost</t>
  </si>
  <si>
    <t>StereoLabs</t>
  </si>
  <si>
    <t>ZED 2i</t>
  </si>
  <si>
    <t xml:space="preserve">6 in 1 USB-C HUB </t>
  </si>
  <si>
    <t>MICRO HDMI TO HDMI CABLE</t>
  </si>
  <si>
    <t>1500mm</t>
  </si>
  <si>
    <t>Sample Prototype</t>
  </si>
  <si>
    <t>STORAGE BOX</t>
  </si>
  <si>
    <t>365 x 260 x 140 mm</t>
  </si>
  <si>
    <t>CUPBOARD BOX</t>
  </si>
  <si>
    <t>195 x 145 x 140 mm</t>
  </si>
  <si>
    <t>294 x 194 x 187 mm</t>
  </si>
  <si>
    <t>230 x 160 x 80 mm</t>
  </si>
  <si>
    <t>Hardware</t>
  </si>
  <si>
    <t>ACRYLIC SHEET</t>
  </si>
  <si>
    <t>457 x 610 x 2 mm</t>
  </si>
  <si>
    <t xml:space="preserve">HEX SCREW </t>
  </si>
  <si>
    <t>1000 x 20 x 20 mm</t>
  </si>
  <si>
    <t>LED STRIP LIGHT</t>
  </si>
  <si>
    <t>2000mm</t>
  </si>
  <si>
    <t>Mitori</t>
  </si>
  <si>
    <t>Diginut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</si>
</sst>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right"/>
    </xf>
    <xf numFmtId="164" fontId="0" fillId="0" borderId="9" xfId="0" applyNumberFormat="1" applyBorder="1" applyAlignment="1">
      <alignment horizontal="left" vertical="center" wrapText="1"/>
    </xf>
    <xf numFmtId="164" fontId="0" fillId="0" borderId="9" xfId="0" applyNumberFormat="1" applyBorder="1" applyAlignment="1">
      <alignment horizontal="left"/>
    </xf>
    <xf numFmtId="0" fontId="2" fillId="2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3" fillId="0" borderId="10" xfId="0" applyFont="1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164" fontId="3" fillId="0" borderId="11" xfId="0" applyNumberFormat="1" applyFon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4" zoomScaleNormal="84" workbookViewId="0">
      <selection activeCell="H4" sqref="H4"/>
    </sheetView>
  </sheetViews>
  <sheetFormatPr defaultRowHeight="14.4" x14ac:dyDescent="0.3"/>
  <cols>
    <col min="1" max="1" width="8" customWidth="1"/>
    <col min="2" max="3" width="18" customWidth="1"/>
    <col min="4" max="5" width="36.109375" customWidth="1"/>
    <col min="6" max="6" width="20" customWidth="1"/>
    <col min="7" max="8" width="27.44140625" customWidth="1"/>
    <col min="9" max="9" width="40" customWidth="1"/>
    <col min="10" max="10" width="16.88671875" customWidth="1"/>
    <col min="11" max="11" width="10" customWidth="1"/>
    <col min="12" max="12" width="19" customWidth="1"/>
  </cols>
  <sheetData>
    <row r="1" spans="1:11" ht="18" x14ac:dyDescent="0.3">
      <c r="A1" s="28" t="s">
        <v>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8.8" x14ac:dyDescent="0.3">
      <c r="A2" s="1" t="s">
        <v>0</v>
      </c>
      <c r="B2" s="1" t="s">
        <v>2</v>
      </c>
      <c r="C2" s="1" t="s">
        <v>19</v>
      </c>
      <c r="D2" s="1" t="s">
        <v>3</v>
      </c>
      <c r="E2" s="1" t="s">
        <v>22</v>
      </c>
      <c r="F2" s="4" t="s">
        <v>7</v>
      </c>
      <c r="G2" s="1" t="s">
        <v>1</v>
      </c>
      <c r="H2" s="7" t="s">
        <v>8</v>
      </c>
      <c r="I2" s="1" t="s">
        <v>30</v>
      </c>
      <c r="J2" s="22" t="s">
        <v>9</v>
      </c>
      <c r="K2" s="27"/>
    </row>
    <row r="3" spans="1:11" x14ac:dyDescent="0.3">
      <c r="A3" s="2">
        <v>1</v>
      </c>
      <c r="B3" s="2" t="s">
        <v>5</v>
      </c>
      <c r="C3" s="2" t="s">
        <v>20</v>
      </c>
      <c r="D3" s="2" t="s">
        <v>6</v>
      </c>
      <c r="E3" s="2" t="s">
        <v>23</v>
      </c>
      <c r="F3" s="5">
        <v>35</v>
      </c>
      <c r="G3" s="2">
        <v>2</v>
      </c>
      <c r="H3" s="8">
        <f>F3*G3</f>
        <v>70</v>
      </c>
      <c r="I3" s="2"/>
      <c r="J3" s="23" t="s">
        <v>10</v>
      </c>
      <c r="K3" s="25"/>
    </row>
    <row r="4" spans="1:11" ht="30" customHeight="1" x14ac:dyDescent="0.3">
      <c r="A4" s="2">
        <v>2</v>
      </c>
      <c r="B4" s="3" t="s">
        <v>31</v>
      </c>
      <c r="C4" s="3" t="s">
        <v>20</v>
      </c>
      <c r="D4" s="3" t="s">
        <v>32</v>
      </c>
      <c r="E4" s="3"/>
      <c r="F4" s="6">
        <v>665</v>
      </c>
      <c r="G4" s="3">
        <v>1</v>
      </c>
      <c r="H4" s="8">
        <f t="shared" ref="H4:H19" si="0">F4*G4</f>
        <v>665</v>
      </c>
      <c r="I4" s="8"/>
      <c r="J4" s="23" t="s">
        <v>10</v>
      </c>
      <c r="K4" s="26"/>
    </row>
    <row r="5" spans="1:11" ht="22.95" customHeight="1" x14ac:dyDescent="0.3">
      <c r="A5" s="2">
        <v>3</v>
      </c>
      <c r="B5" s="9"/>
      <c r="C5" s="9" t="s">
        <v>20</v>
      </c>
      <c r="D5" s="9" t="s">
        <v>26</v>
      </c>
      <c r="E5" s="9" t="s">
        <v>27</v>
      </c>
      <c r="F5" s="5">
        <v>10</v>
      </c>
      <c r="G5" s="2">
        <v>1</v>
      </c>
      <c r="H5" s="8">
        <f>F5*G5</f>
        <v>10</v>
      </c>
      <c r="I5" s="8"/>
      <c r="J5" s="23" t="s">
        <v>10</v>
      </c>
      <c r="K5" s="26"/>
    </row>
    <row r="6" spans="1:11" ht="22.95" customHeight="1" x14ac:dyDescent="0.3">
      <c r="A6" s="2">
        <v>4</v>
      </c>
      <c r="B6" s="9" t="s">
        <v>51</v>
      </c>
      <c r="C6" s="9" t="s">
        <v>20</v>
      </c>
      <c r="D6" s="9" t="s">
        <v>33</v>
      </c>
      <c r="E6" s="9"/>
      <c r="F6" s="5">
        <v>39.9</v>
      </c>
      <c r="G6" s="2">
        <v>1</v>
      </c>
      <c r="H6" s="8">
        <f>F6*G6</f>
        <v>39.9</v>
      </c>
      <c r="I6" s="8">
        <v>39.9</v>
      </c>
      <c r="J6" s="11"/>
      <c r="K6" s="26"/>
    </row>
    <row r="7" spans="1:11" ht="19.95" customHeight="1" x14ac:dyDescent="0.3">
      <c r="A7" s="2">
        <v>5</v>
      </c>
      <c r="B7" s="9" t="s">
        <v>50</v>
      </c>
      <c r="C7" s="9" t="s">
        <v>20</v>
      </c>
      <c r="D7" s="9" t="s">
        <v>34</v>
      </c>
      <c r="E7" s="9" t="s">
        <v>35</v>
      </c>
      <c r="F7" s="5">
        <v>19</v>
      </c>
      <c r="G7" s="2">
        <v>1</v>
      </c>
      <c r="H7" s="8">
        <f>F7*G7</f>
        <v>19</v>
      </c>
      <c r="I7" s="8">
        <f>G7*H7</f>
        <v>19</v>
      </c>
      <c r="J7" s="11"/>
      <c r="K7" s="26"/>
    </row>
    <row r="8" spans="1:11" ht="19.95" customHeight="1" x14ac:dyDescent="0.3">
      <c r="A8" s="2">
        <v>6</v>
      </c>
      <c r="B8" s="9"/>
      <c r="C8" s="13" t="s">
        <v>20</v>
      </c>
      <c r="D8" s="9" t="s">
        <v>48</v>
      </c>
      <c r="E8" s="13" t="s">
        <v>49</v>
      </c>
      <c r="F8" s="5">
        <v>12</v>
      </c>
      <c r="G8" s="2">
        <v>1</v>
      </c>
      <c r="H8" s="8">
        <f>F8*G8</f>
        <v>12</v>
      </c>
      <c r="I8" s="8">
        <f>G8*H8</f>
        <v>12</v>
      </c>
      <c r="J8" s="11"/>
      <c r="K8" s="26"/>
    </row>
    <row r="9" spans="1:11" ht="19.95" customHeight="1" x14ac:dyDescent="0.3">
      <c r="A9" s="2">
        <v>7</v>
      </c>
      <c r="B9" s="9"/>
      <c r="C9" s="13" t="s">
        <v>36</v>
      </c>
      <c r="D9" s="9" t="s">
        <v>37</v>
      </c>
      <c r="E9" s="13" t="s">
        <v>38</v>
      </c>
      <c r="F9" s="5">
        <v>6.32</v>
      </c>
      <c r="G9" s="2">
        <v>1</v>
      </c>
      <c r="H9" s="8">
        <f>F9*G9</f>
        <v>6.32</v>
      </c>
      <c r="I9" s="8">
        <f>G9*H9</f>
        <v>6.32</v>
      </c>
      <c r="J9" s="11"/>
      <c r="K9" s="26"/>
    </row>
    <row r="10" spans="1:11" ht="19.95" customHeight="1" x14ac:dyDescent="0.3">
      <c r="A10" s="2">
        <v>8</v>
      </c>
      <c r="B10" s="9"/>
      <c r="C10" s="13" t="s">
        <v>36</v>
      </c>
      <c r="D10" s="9" t="s">
        <v>39</v>
      </c>
      <c r="E10" s="13" t="s">
        <v>40</v>
      </c>
      <c r="F10" s="5">
        <v>1.7</v>
      </c>
      <c r="G10" s="2">
        <v>1</v>
      </c>
      <c r="H10" s="8">
        <f t="shared" ref="H10:I14" si="1">F10*G10</f>
        <v>1.7</v>
      </c>
      <c r="I10" s="8">
        <f t="shared" si="1"/>
        <v>1.7</v>
      </c>
      <c r="J10" s="11"/>
      <c r="K10" s="26"/>
    </row>
    <row r="11" spans="1:11" ht="19.95" customHeight="1" x14ac:dyDescent="0.3">
      <c r="A11" s="2">
        <v>9</v>
      </c>
      <c r="B11" s="9"/>
      <c r="C11" s="13" t="s">
        <v>36</v>
      </c>
      <c r="D11" s="9" t="s">
        <v>39</v>
      </c>
      <c r="E11" s="13" t="s">
        <v>41</v>
      </c>
      <c r="F11" s="5">
        <v>2.4500000000000002</v>
      </c>
      <c r="G11" s="2">
        <v>1</v>
      </c>
      <c r="H11" s="8">
        <f t="shared" si="1"/>
        <v>2.4500000000000002</v>
      </c>
      <c r="I11" s="8">
        <f t="shared" si="1"/>
        <v>2.4500000000000002</v>
      </c>
      <c r="J11" s="11"/>
      <c r="K11" s="26"/>
    </row>
    <row r="12" spans="1:11" ht="19.95" customHeight="1" x14ac:dyDescent="0.3">
      <c r="A12" s="2">
        <v>10</v>
      </c>
      <c r="B12" s="9"/>
      <c r="C12" s="13" t="s">
        <v>36</v>
      </c>
      <c r="D12" s="9" t="s">
        <v>39</v>
      </c>
      <c r="E12" s="13" t="s">
        <v>42</v>
      </c>
      <c r="F12" s="5">
        <v>1.95</v>
      </c>
      <c r="G12" s="2">
        <v>1</v>
      </c>
      <c r="H12" s="8">
        <f>F12*G12</f>
        <v>1.95</v>
      </c>
      <c r="I12" s="8">
        <f t="shared" si="1"/>
        <v>1.95</v>
      </c>
      <c r="J12" s="18"/>
      <c r="K12" s="26"/>
    </row>
    <row r="13" spans="1:11" ht="19.95" customHeight="1" x14ac:dyDescent="0.3">
      <c r="A13" s="2">
        <v>11</v>
      </c>
      <c r="B13" s="9" t="s">
        <v>14</v>
      </c>
      <c r="C13" s="17" t="s">
        <v>43</v>
      </c>
      <c r="D13" s="9" t="s">
        <v>15</v>
      </c>
      <c r="E13" s="9" t="s">
        <v>25</v>
      </c>
      <c r="F13" s="5">
        <v>16.5</v>
      </c>
      <c r="G13" s="2">
        <v>1</v>
      </c>
      <c r="H13" s="8">
        <f t="shared" ref="H13" si="2">F13*G13</f>
        <v>16.5</v>
      </c>
      <c r="I13" s="11"/>
      <c r="J13" s="38" t="s">
        <v>10</v>
      </c>
    </row>
    <row r="14" spans="1:11" ht="19.2" customHeight="1" x14ac:dyDescent="0.3">
      <c r="A14" s="2">
        <v>12</v>
      </c>
      <c r="B14" s="9"/>
      <c r="C14" s="17" t="s">
        <v>43</v>
      </c>
      <c r="D14" s="9" t="s">
        <v>44</v>
      </c>
      <c r="E14" s="13" t="s">
        <v>45</v>
      </c>
      <c r="F14" s="5">
        <v>28.86</v>
      </c>
      <c r="G14" s="2">
        <v>1</v>
      </c>
      <c r="H14" s="8">
        <f t="shared" si="1"/>
        <v>28.86</v>
      </c>
      <c r="I14" s="8">
        <f t="shared" si="1"/>
        <v>28.86</v>
      </c>
      <c r="J14" s="37"/>
      <c r="K14" s="26"/>
    </row>
    <row r="15" spans="1:11" ht="18.600000000000001" customHeight="1" x14ac:dyDescent="0.3">
      <c r="A15" s="2">
        <v>13</v>
      </c>
      <c r="B15" s="2" t="s">
        <v>11</v>
      </c>
      <c r="C15" s="17" t="s">
        <v>21</v>
      </c>
      <c r="D15" s="9" t="s">
        <v>13</v>
      </c>
      <c r="E15" s="13" t="s">
        <v>24</v>
      </c>
      <c r="F15" s="5">
        <v>10</v>
      </c>
      <c r="G15" s="2">
        <v>3</v>
      </c>
      <c r="H15" s="8">
        <f t="shared" si="0"/>
        <v>30</v>
      </c>
      <c r="I15" s="8"/>
      <c r="J15" s="23" t="s">
        <v>10</v>
      </c>
      <c r="K15" s="26"/>
    </row>
    <row r="16" spans="1:11" ht="15" customHeight="1" x14ac:dyDescent="0.3">
      <c r="A16" s="2">
        <v>14</v>
      </c>
      <c r="B16" s="11"/>
      <c r="C16" s="10" t="s">
        <v>21</v>
      </c>
      <c r="D16" s="15" t="s">
        <v>16</v>
      </c>
      <c r="E16" s="10" t="s">
        <v>47</v>
      </c>
      <c r="F16" s="16">
        <v>21.45</v>
      </c>
      <c r="G16" s="2">
        <v>8</v>
      </c>
      <c r="H16" s="8">
        <f t="shared" si="0"/>
        <v>171.6</v>
      </c>
      <c r="I16" s="2"/>
      <c r="J16" s="23" t="s">
        <v>10</v>
      </c>
      <c r="K16" s="25"/>
    </row>
    <row r="17" spans="1:11" x14ac:dyDescent="0.3">
      <c r="A17" s="2">
        <v>15</v>
      </c>
      <c r="B17" s="11"/>
      <c r="C17" s="10" t="s">
        <v>21</v>
      </c>
      <c r="D17" s="15" t="s">
        <v>17</v>
      </c>
      <c r="E17" s="10" t="s">
        <v>29</v>
      </c>
      <c r="F17" s="16">
        <v>1.64</v>
      </c>
      <c r="G17" s="2">
        <f>8+46</f>
        <v>54</v>
      </c>
      <c r="H17" s="8">
        <f t="shared" si="0"/>
        <v>88.559999999999988</v>
      </c>
      <c r="I17" s="2"/>
      <c r="J17" s="23" t="s">
        <v>10</v>
      </c>
      <c r="K17" s="25"/>
    </row>
    <row r="18" spans="1:11" x14ac:dyDescent="0.3">
      <c r="A18" s="2">
        <v>16</v>
      </c>
      <c r="B18" s="11"/>
      <c r="C18" s="10" t="s">
        <v>21</v>
      </c>
      <c r="D18" s="12" t="s">
        <v>18</v>
      </c>
      <c r="E18" s="14"/>
      <c r="F18" s="5">
        <v>0.33</v>
      </c>
      <c r="G18" s="2">
        <f>32+92</f>
        <v>124</v>
      </c>
      <c r="H18" s="8">
        <f t="shared" si="0"/>
        <v>40.92</v>
      </c>
      <c r="I18" s="2"/>
      <c r="J18" s="23" t="s">
        <v>10</v>
      </c>
      <c r="K18" s="25"/>
    </row>
    <row r="19" spans="1:11" x14ac:dyDescent="0.3">
      <c r="A19" s="2">
        <v>17</v>
      </c>
      <c r="B19" s="31"/>
      <c r="C19" s="10" t="s">
        <v>21</v>
      </c>
      <c r="D19" s="32" t="s">
        <v>46</v>
      </c>
      <c r="E19" s="33" t="s">
        <v>28</v>
      </c>
      <c r="F19" s="34">
        <v>1.3</v>
      </c>
      <c r="G19" s="30">
        <f>32+92</f>
        <v>124</v>
      </c>
      <c r="H19" s="35">
        <f t="shared" si="0"/>
        <v>161.20000000000002</v>
      </c>
      <c r="I19" s="30"/>
      <c r="J19" s="36" t="s">
        <v>10</v>
      </c>
      <c r="K19" s="25"/>
    </row>
    <row r="20" spans="1:11" x14ac:dyDescent="0.3">
      <c r="G20" s="19" t="s">
        <v>12</v>
      </c>
      <c r="H20" s="20">
        <f>SUM(H3:H19)</f>
        <v>1365.9600000000003</v>
      </c>
      <c r="I20" s="21">
        <f>SUM(I4:I15)</f>
        <v>112.18</v>
      </c>
      <c r="K20" s="24"/>
    </row>
  </sheetData>
  <sortState xmlns:xlrd2="http://schemas.microsoft.com/office/spreadsheetml/2017/richdata2" ref="A3:K24">
    <sortCondition ref="A2:A24"/>
  </sortState>
  <mergeCells count="1">
    <mergeCell ref="A1:K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 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BECKHAM BENNY ROSS</cp:lastModifiedBy>
  <dcterms:created xsi:type="dcterms:W3CDTF">2026-02-06T16:42:04Z</dcterms:created>
  <dcterms:modified xsi:type="dcterms:W3CDTF">2026-03-13T07:45:21Z</dcterms:modified>
</cp:coreProperties>
</file>